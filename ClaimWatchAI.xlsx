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71cc3d4d2a2610/Documents/"/>
    </mc:Choice>
  </mc:AlternateContent>
  <xr:revisionPtr revIDLastSave="135" documentId="8_{F07C9D22-A877-418B-8BBF-5DD2E24E7A5A}" xr6:coauthVersionLast="47" xr6:coauthVersionMax="47" xr10:uidLastSave="{2AED2403-56FA-4E72-99A3-FFEFCD504BDB}"/>
  <bookViews>
    <workbookView xWindow="-108" yWindow="-108" windowWidth="23256" windowHeight="13176" xr2:uid="{2E17F7C6-97CD-4D4A-868B-FCC9A130AE3C}"/>
  </bookViews>
  <sheets>
    <sheet name="ClaimWatchA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2" i="1"/>
</calcChain>
</file>

<file path=xl/sharedStrings.xml><?xml version="1.0" encoding="utf-8"?>
<sst xmlns="http://schemas.openxmlformats.org/spreadsheetml/2006/main" count="201" uniqueCount="34">
  <si>
    <t>Claim_ID</t>
  </si>
  <si>
    <t>Customer_Age</t>
  </si>
  <si>
    <t>Vehicle_Age</t>
  </si>
  <si>
    <t>Claim_Amount</t>
  </si>
  <si>
    <t>Repair_Cost</t>
  </si>
  <si>
    <t>Previous_Claims</t>
  </si>
  <si>
    <t>Policy_Days</t>
  </si>
  <si>
    <t>Accident_Area</t>
  </si>
  <si>
    <t>Claim_Time</t>
  </si>
  <si>
    <t>Witness_Present</t>
  </si>
  <si>
    <t>Police_Report</t>
  </si>
  <si>
    <t>Injury_Severity</t>
  </si>
  <si>
    <t>Claim_Type</t>
  </si>
  <si>
    <t>Rural</t>
  </si>
  <si>
    <t>Night</t>
  </si>
  <si>
    <t>No</t>
  </si>
  <si>
    <t>Minor</t>
  </si>
  <si>
    <t>Collision</t>
  </si>
  <si>
    <t>Urban</t>
  </si>
  <si>
    <t>Day</t>
  </si>
  <si>
    <t>Yes</t>
  </si>
  <si>
    <t>Major</t>
  </si>
  <si>
    <t>Theft</t>
  </si>
  <si>
    <t>Highway</t>
  </si>
  <si>
    <t>Evening</t>
  </si>
  <si>
    <t>Fire</t>
  </si>
  <si>
    <t>Late_night_flag</t>
  </si>
  <si>
    <t>High_amount_flag</t>
  </si>
  <si>
    <t>No_police_flag</t>
  </si>
  <si>
    <t>past_fraud_flag</t>
  </si>
  <si>
    <t>Fraud_score</t>
  </si>
  <si>
    <t>Risk_level</t>
  </si>
  <si>
    <t xml:space="preserve"> </t>
  </si>
  <si>
    <t>Suspicious_location_flag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</si>
</sst>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2" fontId="2" fillId="0" borderId="3" xfId="0" applyNumberFormat="1" applyFont="1" applyBorder="1" applyAlignment="1">
      <alignment horizontal="center"/>
    </xf>
    <xf numFmtId="0" fontId="2" fillId="0" borderId="4" xfId="0" applyFont="1" applyBorder="1"/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31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41E33D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41E3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4CCC07-7013-40D3-A236-527594E5A0FF}" name="Table1" displayName="Table1" ref="A1:T31" totalsRowShown="0" headerRowDxfId="30" dataDxfId="28" headerRowBorderDxfId="29" tableBorderDxfId="27" totalsRowBorderDxfId="26">
  <autoFilter ref="A1:T31" xr:uid="{064CCC07-7013-40D3-A236-527594E5A0FF}"/>
  <tableColumns count="20">
    <tableColumn id="1" xr3:uid="{9653B146-3744-431F-B8E3-857F6E8677A7}" name="Claim_ID" dataDxfId="25"/>
    <tableColumn id="2" xr3:uid="{9CCC8447-A88B-486D-9C23-38A21206D113}" name="Customer_Age" dataDxfId="24"/>
    <tableColumn id="3" xr3:uid="{798258AB-2AF9-4F86-B2F4-52D0CBE3DFC6}" name="Vehicle_Age" dataDxfId="23"/>
    <tableColumn id="4" xr3:uid="{4B72C8C8-3D42-420D-85C9-AD51D0F1C1B0}" name="Claim_Amount" dataDxfId="22"/>
    <tableColumn id="5" xr3:uid="{D66C6737-56FF-49A4-BE58-BD1047E9EE1D}" name="Repair_Cost" dataDxfId="21"/>
    <tableColumn id="6" xr3:uid="{1C184C98-BCB9-4991-B9BF-603019AEE0D4}" name="Previous_Claims" dataDxfId="20"/>
    <tableColumn id="7" xr3:uid="{F1EC79AC-CFEB-4128-8FCA-E66A5D303314}" name="Policy_Days" dataDxfId="19"/>
    <tableColumn id="8" xr3:uid="{7ACAE4C5-050D-49FE-9E2E-4F7D2DBAF0E2}" name="Accident_Area" dataDxfId="18"/>
    <tableColumn id="9" xr3:uid="{5BC5FA7D-1475-4D71-9249-235C26C42B06}" name="Claim_Time" dataDxfId="17"/>
    <tableColumn id="10" xr3:uid="{DC5FE62E-D16C-4223-9408-A68716979ED1}" name="Witness_Present" dataDxfId="16"/>
    <tableColumn id="11" xr3:uid="{0D967AA5-A974-4501-9624-8C73BA906A2E}" name="Police_Report" dataDxfId="15"/>
    <tableColumn id="12" xr3:uid="{75E32074-1C77-49FB-AAE7-0C11AA2C343B}" name="Injury_Severity" dataDxfId="14"/>
    <tableColumn id="13" xr3:uid="{8E1537AB-6074-4B21-8F71-EB04FF4EE0E2}" name="Claim_Type" dataDxfId="13"/>
    <tableColumn id="14" xr3:uid="{16977E07-8E69-4174-9D76-033A44BAA2A7}" name="Late_night_flag" dataDxfId="12">
      <calculatedColumnFormula>IF(I2="Night",1,0)</calculatedColumnFormula>
    </tableColumn>
    <tableColumn id="15" xr3:uid="{184CE08B-3377-4F11-8559-5EF90E1EB802}" name="High_amount_flag" dataDxfId="11">
      <calculatedColumnFormula>IF(D2&gt;80000,1,0)</calculatedColumnFormula>
    </tableColumn>
    <tableColumn id="16" xr3:uid="{53746EF4-B3E1-419D-BBFF-E0F0A1C124AE}" name="No_police_flag" dataDxfId="10">
      <calculatedColumnFormula>IF(K2="No",1,0)</calculatedColumnFormula>
    </tableColumn>
    <tableColumn id="17" xr3:uid="{7A05A3A6-D913-4419-B74F-ED42E6600837}" name="past_fraud_flag" dataDxfId="9">
      <calculatedColumnFormula>IF(F2&gt;2,1,0)</calculatedColumnFormula>
    </tableColumn>
    <tableColumn id="18" xr3:uid="{D5519604-F50E-45B6-89C8-48E125BBAADA}" name="Suspicious_location_flag" dataDxfId="8">
      <calculatedColumnFormula>IF(OR(H2="Urban",H2="Highway"),1,0)</calculatedColumnFormula>
    </tableColumn>
    <tableColumn id="19" xr3:uid="{0C3B2205-DC90-46F7-8BD9-A1F678F2D0C0}" name="Fraud_score" dataDxfId="7">
      <calculatedColumnFormula>N2*20 + O2*25 + P2*20 + Q2*20 + R2*15</calculatedColumnFormula>
    </tableColumn>
    <tableColumn id="20" xr3:uid="{668FFDDF-ED99-4A3D-A30C-27505A321418}" name="Risk_level" dataDxfId="6">
      <calculatedColumnFormula>IF(S2&gt;=70,"High Risk",IF(S2&gt;=40,"Medium Risk","Low Risk"))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B02DA-A9BD-459E-8212-046BB1849BBE}">
  <dimension ref="A1:V31"/>
  <sheetViews>
    <sheetView tabSelected="1" topLeftCell="L1" workbookViewId="0">
      <selection activeCell="V28" sqref="V28"/>
    </sheetView>
  </sheetViews>
  <sheetFormatPr defaultRowHeight="14.4" x14ac:dyDescent="0.3"/>
  <cols>
    <col min="1" max="1" width="17.109375" customWidth="1"/>
    <col min="2" max="2" width="18.44140625" customWidth="1"/>
    <col min="3" max="3" width="20" customWidth="1"/>
    <col min="4" max="4" width="20.109375" customWidth="1"/>
    <col min="5" max="5" width="18.21875" customWidth="1"/>
    <col min="6" max="6" width="21.21875" customWidth="1"/>
    <col min="7" max="7" width="17.33203125" customWidth="1"/>
    <col min="8" max="8" width="16.21875" customWidth="1"/>
    <col min="9" max="9" width="16" customWidth="1"/>
    <col min="10" max="10" width="20.44140625" customWidth="1"/>
    <col min="11" max="11" width="17" customWidth="1"/>
    <col min="12" max="12" width="17.21875" customWidth="1"/>
    <col min="13" max="13" width="15.5546875" customWidth="1"/>
    <col min="14" max="14" width="19.109375" customWidth="1"/>
    <col min="15" max="15" width="22.109375" customWidth="1"/>
    <col min="16" max="16" width="19.88671875" customWidth="1"/>
    <col min="17" max="17" width="19.109375" customWidth="1"/>
    <col min="18" max="18" width="26.6640625" customWidth="1"/>
    <col min="19" max="19" width="18.88671875" customWidth="1"/>
    <col min="20" max="20" width="15.33203125" customWidth="1"/>
  </cols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33</v>
      </c>
      <c r="S1" s="4" t="s">
        <v>30</v>
      </c>
      <c r="T1" s="5" t="s">
        <v>31</v>
      </c>
    </row>
    <row r="2" spans="1:20" x14ac:dyDescent="0.3">
      <c r="A2" s="6">
        <v>1001</v>
      </c>
      <c r="B2" s="7">
        <v>24</v>
      </c>
      <c r="C2" s="7">
        <v>10</v>
      </c>
      <c r="D2" s="7">
        <v>180000</v>
      </c>
      <c r="E2" s="7">
        <v>15000</v>
      </c>
      <c r="F2" s="7">
        <v>3</v>
      </c>
      <c r="G2" s="7">
        <v>18</v>
      </c>
      <c r="H2" s="8" t="s">
        <v>13</v>
      </c>
      <c r="I2" s="8" t="s">
        <v>14</v>
      </c>
      <c r="J2" s="8" t="s">
        <v>15</v>
      </c>
      <c r="K2" s="8" t="s">
        <v>15</v>
      </c>
      <c r="L2" s="8" t="s">
        <v>16</v>
      </c>
      <c r="M2" s="8" t="s">
        <v>17</v>
      </c>
      <c r="N2" s="7">
        <f>IF(I2="Night",1,0)</f>
        <v>1</v>
      </c>
      <c r="O2" s="7">
        <f>IF(D2&gt;80000,1,0)</f>
        <v>1</v>
      </c>
      <c r="P2" s="7">
        <f>IF(K2="No",1,0)</f>
        <v>1</v>
      </c>
      <c r="Q2" s="7">
        <f>IF(F2&gt;2,1,0)</f>
        <v>1</v>
      </c>
      <c r="R2" s="7">
        <f>IF(OR(H2="Urban",H2="Highway"),1,0)</f>
        <v>0</v>
      </c>
      <c r="S2" s="7">
        <f>N2*20 + O2*25 + P2*20 + Q2*20 + R2*15</f>
        <v>85</v>
      </c>
      <c r="T2" s="9" t="str">
        <f>IF(S2&gt;=70,"High Risk",IF(S2&gt;=40,"Medium Risk","Low Risk"))</f>
        <v>High Risk</v>
      </c>
    </row>
    <row r="3" spans="1:20" x14ac:dyDescent="0.3">
      <c r="A3" s="6">
        <v>1002</v>
      </c>
      <c r="B3" s="7">
        <v>45</v>
      </c>
      <c r="C3" s="7">
        <v>3</v>
      </c>
      <c r="D3" s="7">
        <v>25000</v>
      </c>
      <c r="E3" s="7">
        <v>22000</v>
      </c>
      <c r="F3" s="7">
        <v>0</v>
      </c>
      <c r="G3" s="7">
        <v>400</v>
      </c>
      <c r="H3" s="8" t="s">
        <v>18</v>
      </c>
      <c r="I3" s="8" t="s">
        <v>19</v>
      </c>
      <c r="J3" s="8" t="s">
        <v>20</v>
      </c>
      <c r="K3" s="8" t="s">
        <v>20</v>
      </c>
      <c r="L3" s="8" t="s">
        <v>21</v>
      </c>
      <c r="M3" s="8" t="s">
        <v>17</v>
      </c>
      <c r="N3" s="7">
        <f t="shared" ref="N3:N31" si="0">IF(I3="Night",1,0)</f>
        <v>0</v>
      </c>
      <c r="O3" s="7">
        <f t="shared" ref="O3:O31" si="1">IF(D3&gt;80000,1,0)</f>
        <v>0</v>
      </c>
      <c r="P3" s="7">
        <f t="shared" ref="P3:P31" si="2">IF(K3="No",1,0)</f>
        <v>0</v>
      </c>
      <c r="Q3" s="7">
        <f t="shared" ref="Q3:Q31" si="3">IF(F3&gt;2,1,0)</f>
        <v>0</v>
      </c>
      <c r="R3" s="7">
        <f t="shared" ref="R3:R31" si="4">IF(OR(H3="Urban",H3="Highway"),1,0)</f>
        <v>1</v>
      </c>
      <c r="S3" s="7">
        <f t="shared" ref="S3:S31" si="5">N3*20 + O3*25 + P3*20 + Q3*20 + R3*15</f>
        <v>15</v>
      </c>
      <c r="T3" s="9" t="str">
        <f t="shared" ref="T3:T31" si="6">IF(S3&gt;=70,"High Risk",IF(S3&gt;=40,"Medium Risk","Low Risk"))</f>
        <v>Low Risk</v>
      </c>
    </row>
    <row r="4" spans="1:20" x14ac:dyDescent="0.3">
      <c r="A4" s="6">
        <v>1003</v>
      </c>
      <c r="B4" s="7">
        <v>30</v>
      </c>
      <c r="C4" s="7">
        <v>8</v>
      </c>
      <c r="D4" s="7">
        <v>92000</v>
      </c>
      <c r="E4" s="7">
        <v>12000</v>
      </c>
      <c r="F4" s="7">
        <v>2</v>
      </c>
      <c r="G4" s="7">
        <v>40</v>
      </c>
      <c r="H4" s="8" t="s">
        <v>18</v>
      </c>
      <c r="I4" s="8" t="s">
        <v>14</v>
      </c>
      <c r="J4" s="8" t="s">
        <v>15</v>
      </c>
      <c r="K4" s="8" t="s">
        <v>15</v>
      </c>
      <c r="L4" s="8" t="s">
        <v>16</v>
      </c>
      <c r="M4" s="8" t="s">
        <v>22</v>
      </c>
      <c r="N4" s="7">
        <f t="shared" si="0"/>
        <v>1</v>
      </c>
      <c r="O4" s="7">
        <f t="shared" si="1"/>
        <v>1</v>
      </c>
      <c r="P4" s="7">
        <f t="shared" si="2"/>
        <v>1</v>
      </c>
      <c r="Q4" s="7">
        <f t="shared" si="3"/>
        <v>0</v>
      </c>
      <c r="R4" s="7">
        <f t="shared" si="4"/>
        <v>1</v>
      </c>
      <c r="S4" s="7">
        <f t="shared" si="5"/>
        <v>80</v>
      </c>
      <c r="T4" s="9" t="str">
        <f t="shared" si="6"/>
        <v>High Risk</v>
      </c>
    </row>
    <row r="5" spans="1:20" x14ac:dyDescent="0.3">
      <c r="A5" s="6">
        <v>1004</v>
      </c>
      <c r="B5" s="7">
        <v>52</v>
      </c>
      <c r="C5" s="7">
        <v>2</v>
      </c>
      <c r="D5" s="7">
        <v>15000</v>
      </c>
      <c r="E5" s="7">
        <v>14000</v>
      </c>
      <c r="F5" s="7">
        <v>0</v>
      </c>
      <c r="G5" s="7">
        <v>800</v>
      </c>
      <c r="H5" s="8" t="s">
        <v>23</v>
      </c>
      <c r="I5" s="8" t="s">
        <v>19</v>
      </c>
      <c r="J5" s="8" t="s">
        <v>20</v>
      </c>
      <c r="K5" s="8" t="s">
        <v>20</v>
      </c>
      <c r="L5" s="8" t="s">
        <v>16</v>
      </c>
      <c r="M5" s="8" t="s">
        <v>17</v>
      </c>
      <c r="N5" s="7">
        <f t="shared" si="0"/>
        <v>0</v>
      </c>
      <c r="O5" s="7">
        <f t="shared" si="1"/>
        <v>0</v>
      </c>
      <c r="P5" s="7">
        <f t="shared" si="2"/>
        <v>0</v>
      </c>
      <c r="Q5" s="7">
        <f t="shared" si="3"/>
        <v>0</v>
      </c>
      <c r="R5" s="7">
        <f t="shared" si="4"/>
        <v>1</v>
      </c>
      <c r="S5" s="7">
        <f t="shared" si="5"/>
        <v>15</v>
      </c>
      <c r="T5" s="9" t="str">
        <f t="shared" si="6"/>
        <v>Low Risk</v>
      </c>
    </row>
    <row r="6" spans="1:20" x14ac:dyDescent="0.3">
      <c r="A6" s="6">
        <v>1005</v>
      </c>
      <c r="B6" s="7">
        <v>27</v>
      </c>
      <c r="C6" s="7">
        <v>12</v>
      </c>
      <c r="D6" s="7">
        <v>210000</v>
      </c>
      <c r="E6" s="7">
        <v>20000</v>
      </c>
      <c r="F6" s="7">
        <v>4</v>
      </c>
      <c r="G6" s="7">
        <v>12</v>
      </c>
      <c r="H6" s="8" t="s">
        <v>13</v>
      </c>
      <c r="I6" s="8" t="s">
        <v>14</v>
      </c>
      <c r="J6" s="8" t="s">
        <v>15</v>
      </c>
      <c r="K6" s="8" t="s">
        <v>15</v>
      </c>
      <c r="L6" s="8" t="s">
        <v>16</v>
      </c>
      <c r="M6" s="8" t="s">
        <v>17</v>
      </c>
      <c r="N6" s="7">
        <f t="shared" si="0"/>
        <v>1</v>
      </c>
      <c r="O6" s="7">
        <f t="shared" si="1"/>
        <v>1</v>
      </c>
      <c r="P6" s="7">
        <f t="shared" si="2"/>
        <v>1</v>
      </c>
      <c r="Q6" s="7">
        <f t="shared" si="3"/>
        <v>1</v>
      </c>
      <c r="R6" s="7">
        <f t="shared" si="4"/>
        <v>0</v>
      </c>
      <c r="S6" s="7">
        <f t="shared" si="5"/>
        <v>85</v>
      </c>
      <c r="T6" s="9" t="str">
        <f t="shared" si="6"/>
        <v>High Risk</v>
      </c>
    </row>
    <row r="7" spans="1:20" x14ac:dyDescent="0.3">
      <c r="A7" s="6">
        <v>1006</v>
      </c>
      <c r="B7" s="7">
        <v>36</v>
      </c>
      <c r="C7" s="7">
        <v>4</v>
      </c>
      <c r="D7" s="7">
        <v>40000</v>
      </c>
      <c r="E7" s="7">
        <v>35000</v>
      </c>
      <c r="F7" s="7">
        <v>1</v>
      </c>
      <c r="G7" s="7">
        <v>200</v>
      </c>
      <c r="H7" s="8" t="s">
        <v>18</v>
      </c>
      <c r="I7" s="8" t="s">
        <v>24</v>
      </c>
      <c r="J7" s="8" t="s">
        <v>20</v>
      </c>
      <c r="K7" s="8" t="s">
        <v>20</v>
      </c>
      <c r="L7" s="8" t="s">
        <v>16</v>
      </c>
      <c r="M7" s="8" t="s">
        <v>17</v>
      </c>
      <c r="N7" s="7">
        <f t="shared" si="0"/>
        <v>0</v>
      </c>
      <c r="O7" s="7">
        <f t="shared" si="1"/>
        <v>0</v>
      </c>
      <c r="P7" s="7">
        <f t="shared" si="2"/>
        <v>0</v>
      </c>
      <c r="Q7" s="7">
        <f t="shared" si="3"/>
        <v>0</v>
      </c>
      <c r="R7" s="7">
        <f t="shared" si="4"/>
        <v>1</v>
      </c>
      <c r="S7" s="7">
        <f t="shared" si="5"/>
        <v>15</v>
      </c>
      <c r="T7" s="9" t="str">
        <f t="shared" si="6"/>
        <v>Low Risk</v>
      </c>
    </row>
    <row r="8" spans="1:20" x14ac:dyDescent="0.3">
      <c r="A8" s="6">
        <v>1007</v>
      </c>
      <c r="B8" s="7">
        <v>22</v>
      </c>
      <c r="C8" s="7">
        <v>9</v>
      </c>
      <c r="D8" s="7">
        <v>125000</v>
      </c>
      <c r="E8" s="7">
        <v>10000</v>
      </c>
      <c r="F8" s="7">
        <v>3</v>
      </c>
      <c r="G8" s="7">
        <v>25</v>
      </c>
      <c r="H8" s="8" t="s">
        <v>13</v>
      </c>
      <c r="I8" s="8" t="s">
        <v>14</v>
      </c>
      <c r="J8" s="8" t="s">
        <v>15</v>
      </c>
      <c r="K8" s="8" t="s">
        <v>15</v>
      </c>
      <c r="L8" s="8" t="s">
        <v>16</v>
      </c>
      <c r="M8" s="8" t="s">
        <v>25</v>
      </c>
      <c r="N8" s="7">
        <f t="shared" si="0"/>
        <v>1</v>
      </c>
      <c r="O8" s="7">
        <f t="shared" si="1"/>
        <v>1</v>
      </c>
      <c r="P8" s="7">
        <f t="shared" si="2"/>
        <v>1</v>
      </c>
      <c r="Q8" s="7">
        <f t="shared" si="3"/>
        <v>1</v>
      </c>
      <c r="R8" s="7">
        <f t="shared" si="4"/>
        <v>0</v>
      </c>
      <c r="S8" s="7">
        <f t="shared" si="5"/>
        <v>85</v>
      </c>
      <c r="T8" s="9" t="str">
        <f t="shared" si="6"/>
        <v>High Risk</v>
      </c>
    </row>
    <row r="9" spans="1:20" x14ac:dyDescent="0.3">
      <c r="A9" s="6">
        <v>1008</v>
      </c>
      <c r="B9" s="7">
        <v>48</v>
      </c>
      <c r="C9" s="7">
        <v>1</v>
      </c>
      <c r="D9" s="7">
        <v>12000</v>
      </c>
      <c r="E9" s="7">
        <v>11000</v>
      </c>
      <c r="F9" s="7">
        <v>0</v>
      </c>
      <c r="G9" s="7">
        <v>1000</v>
      </c>
      <c r="H9" s="8" t="s">
        <v>18</v>
      </c>
      <c r="I9" s="8" t="s">
        <v>19</v>
      </c>
      <c r="J9" s="8" t="s">
        <v>20</v>
      </c>
      <c r="K9" s="8" t="s">
        <v>20</v>
      </c>
      <c r="L9" s="8" t="s">
        <v>16</v>
      </c>
      <c r="M9" s="8" t="s">
        <v>17</v>
      </c>
      <c r="N9" s="7">
        <f t="shared" si="0"/>
        <v>0</v>
      </c>
      <c r="O9" s="7">
        <f t="shared" si="1"/>
        <v>0</v>
      </c>
      <c r="P9" s="7">
        <f t="shared" si="2"/>
        <v>0</v>
      </c>
      <c r="Q9" s="7">
        <f t="shared" si="3"/>
        <v>0</v>
      </c>
      <c r="R9" s="7">
        <f t="shared" si="4"/>
        <v>1</v>
      </c>
      <c r="S9" s="7">
        <f t="shared" si="5"/>
        <v>15</v>
      </c>
      <c r="T9" s="9" t="str">
        <f t="shared" si="6"/>
        <v>Low Risk</v>
      </c>
    </row>
    <row r="10" spans="1:20" x14ac:dyDescent="0.3">
      <c r="A10" s="6">
        <v>1009</v>
      </c>
      <c r="B10" s="7">
        <v>39</v>
      </c>
      <c r="C10" s="7">
        <v>7</v>
      </c>
      <c r="D10" s="7">
        <v>85000</v>
      </c>
      <c r="E10" s="7">
        <v>15000</v>
      </c>
      <c r="F10" s="7">
        <v>2</v>
      </c>
      <c r="G10" s="7">
        <v>60</v>
      </c>
      <c r="H10" s="8" t="s">
        <v>23</v>
      </c>
      <c r="I10" s="8" t="s">
        <v>14</v>
      </c>
      <c r="J10" s="8" t="s">
        <v>15</v>
      </c>
      <c r="K10" s="8" t="s">
        <v>15</v>
      </c>
      <c r="L10" s="8" t="s">
        <v>16</v>
      </c>
      <c r="M10" s="8" t="s">
        <v>17</v>
      </c>
      <c r="N10" s="7">
        <f t="shared" si="0"/>
        <v>1</v>
      </c>
      <c r="O10" s="7">
        <f t="shared" si="1"/>
        <v>1</v>
      </c>
      <c r="P10" s="7">
        <f t="shared" si="2"/>
        <v>1</v>
      </c>
      <c r="Q10" s="7">
        <f t="shared" si="3"/>
        <v>0</v>
      </c>
      <c r="R10" s="7">
        <f t="shared" si="4"/>
        <v>1</v>
      </c>
      <c r="S10" s="7">
        <f t="shared" si="5"/>
        <v>80</v>
      </c>
      <c r="T10" s="9" t="str">
        <f t="shared" si="6"/>
        <v>High Risk</v>
      </c>
    </row>
    <row r="11" spans="1:20" x14ac:dyDescent="0.3">
      <c r="A11" s="6">
        <v>1010</v>
      </c>
      <c r="B11" s="7">
        <v>50</v>
      </c>
      <c r="C11" s="7">
        <v>2</v>
      </c>
      <c r="D11" s="7">
        <v>18000</v>
      </c>
      <c r="E11" s="7">
        <v>16000</v>
      </c>
      <c r="F11" s="7">
        <v>0</v>
      </c>
      <c r="G11" s="7">
        <v>600</v>
      </c>
      <c r="H11" s="8" t="s">
        <v>18</v>
      </c>
      <c r="I11" s="8" t="s">
        <v>19</v>
      </c>
      <c r="J11" s="8" t="s">
        <v>20</v>
      </c>
      <c r="K11" s="8" t="s">
        <v>20</v>
      </c>
      <c r="L11" s="8" t="s">
        <v>16</v>
      </c>
      <c r="M11" s="8" t="s">
        <v>17</v>
      </c>
      <c r="N11" s="7">
        <f t="shared" si="0"/>
        <v>0</v>
      </c>
      <c r="O11" s="7">
        <f t="shared" si="1"/>
        <v>0</v>
      </c>
      <c r="P11" s="7">
        <f t="shared" si="2"/>
        <v>0</v>
      </c>
      <c r="Q11" s="7">
        <f t="shared" si="3"/>
        <v>0</v>
      </c>
      <c r="R11" s="7">
        <f t="shared" si="4"/>
        <v>1</v>
      </c>
      <c r="S11" s="7">
        <f t="shared" si="5"/>
        <v>15</v>
      </c>
      <c r="T11" s="9" t="str">
        <f t="shared" si="6"/>
        <v>Low Risk</v>
      </c>
    </row>
    <row r="12" spans="1:20" x14ac:dyDescent="0.3">
      <c r="A12" s="6">
        <v>1011</v>
      </c>
      <c r="B12" s="7">
        <v>28</v>
      </c>
      <c r="C12" s="7">
        <v>11</v>
      </c>
      <c r="D12" s="7">
        <v>195000</v>
      </c>
      <c r="E12" s="7">
        <v>22000</v>
      </c>
      <c r="F12" s="7">
        <v>5</v>
      </c>
      <c r="G12" s="7">
        <v>15</v>
      </c>
      <c r="H12" s="8" t="s">
        <v>13</v>
      </c>
      <c r="I12" s="8" t="s">
        <v>14</v>
      </c>
      <c r="J12" s="8" t="s">
        <v>15</v>
      </c>
      <c r="K12" s="8" t="s">
        <v>15</v>
      </c>
      <c r="L12" s="8" t="s">
        <v>16</v>
      </c>
      <c r="M12" s="8" t="s">
        <v>22</v>
      </c>
      <c r="N12" s="7">
        <f t="shared" si="0"/>
        <v>1</v>
      </c>
      <c r="O12" s="7">
        <f t="shared" si="1"/>
        <v>1</v>
      </c>
      <c r="P12" s="7">
        <f t="shared" si="2"/>
        <v>1</v>
      </c>
      <c r="Q12" s="7">
        <f t="shared" si="3"/>
        <v>1</v>
      </c>
      <c r="R12" s="7">
        <f t="shared" si="4"/>
        <v>0</v>
      </c>
      <c r="S12" s="7">
        <f t="shared" si="5"/>
        <v>85</v>
      </c>
      <c r="T12" s="9" t="str">
        <f t="shared" si="6"/>
        <v>High Risk</v>
      </c>
    </row>
    <row r="13" spans="1:20" x14ac:dyDescent="0.3">
      <c r="A13" s="6">
        <v>1012</v>
      </c>
      <c r="B13" s="7">
        <v>41</v>
      </c>
      <c r="C13" s="7">
        <v>5</v>
      </c>
      <c r="D13" s="7">
        <v>30000</v>
      </c>
      <c r="E13" s="7">
        <v>26000</v>
      </c>
      <c r="F13" s="7">
        <v>1</v>
      </c>
      <c r="G13" s="7">
        <v>350</v>
      </c>
      <c r="H13" s="8" t="s">
        <v>18</v>
      </c>
      <c r="I13" s="8" t="s">
        <v>24</v>
      </c>
      <c r="J13" s="8" t="s">
        <v>20</v>
      </c>
      <c r="K13" s="8" t="s">
        <v>20</v>
      </c>
      <c r="L13" s="8" t="s">
        <v>16</v>
      </c>
      <c r="M13" s="8" t="s">
        <v>17</v>
      </c>
      <c r="N13" s="7">
        <f t="shared" si="0"/>
        <v>0</v>
      </c>
      <c r="O13" s="7">
        <f t="shared" si="1"/>
        <v>0</v>
      </c>
      <c r="P13" s="7">
        <f t="shared" si="2"/>
        <v>0</v>
      </c>
      <c r="Q13" s="7">
        <f t="shared" si="3"/>
        <v>0</v>
      </c>
      <c r="R13" s="7">
        <f t="shared" si="4"/>
        <v>1</v>
      </c>
      <c r="S13" s="7">
        <f t="shared" si="5"/>
        <v>15</v>
      </c>
      <c r="T13" s="9" t="str">
        <f t="shared" si="6"/>
        <v>Low Risk</v>
      </c>
    </row>
    <row r="14" spans="1:20" x14ac:dyDescent="0.3">
      <c r="A14" s="6">
        <v>1013</v>
      </c>
      <c r="B14" s="7">
        <v>34</v>
      </c>
      <c r="C14" s="7">
        <v>6</v>
      </c>
      <c r="D14" s="7">
        <v>78000</v>
      </c>
      <c r="E14" s="7">
        <v>14000</v>
      </c>
      <c r="F14" s="7">
        <v>2</v>
      </c>
      <c r="G14" s="7">
        <v>55</v>
      </c>
      <c r="H14" s="8" t="s">
        <v>23</v>
      </c>
      <c r="I14" s="8" t="s">
        <v>14</v>
      </c>
      <c r="J14" s="8" t="s">
        <v>15</v>
      </c>
      <c r="K14" s="8" t="s">
        <v>15</v>
      </c>
      <c r="L14" s="8" t="s">
        <v>16</v>
      </c>
      <c r="M14" s="8" t="s">
        <v>17</v>
      </c>
      <c r="N14" s="7">
        <f t="shared" si="0"/>
        <v>1</v>
      </c>
      <c r="O14" s="7">
        <f t="shared" si="1"/>
        <v>0</v>
      </c>
      <c r="P14" s="7">
        <f t="shared" si="2"/>
        <v>1</v>
      </c>
      <c r="Q14" s="7">
        <f t="shared" si="3"/>
        <v>0</v>
      </c>
      <c r="R14" s="7">
        <f t="shared" si="4"/>
        <v>1</v>
      </c>
      <c r="S14" s="7">
        <f t="shared" si="5"/>
        <v>55</v>
      </c>
      <c r="T14" s="9" t="str">
        <f t="shared" si="6"/>
        <v>Medium Risk</v>
      </c>
    </row>
    <row r="15" spans="1:20" x14ac:dyDescent="0.3">
      <c r="A15" s="6">
        <v>1014</v>
      </c>
      <c r="B15" s="7">
        <v>55</v>
      </c>
      <c r="C15" s="7">
        <v>2</v>
      </c>
      <c r="D15" s="7">
        <v>14000</v>
      </c>
      <c r="E15" s="7">
        <v>13000</v>
      </c>
      <c r="F15" s="7">
        <v>0</v>
      </c>
      <c r="G15" s="7">
        <v>900</v>
      </c>
      <c r="H15" s="8" t="s">
        <v>18</v>
      </c>
      <c r="I15" s="8" t="s">
        <v>19</v>
      </c>
      <c r="J15" s="8" t="s">
        <v>20</v>
      </c>
      <c r="K15" s="8" t="s">
        <v>20</v>
      </c>
      <c r="L15" s="8" t="s">
        <v>16</v>
      </c>
      <c r="M15" s="8" t="s">
        <v>17</v>
      </c>
      <c r="N15" s="7">
        <f t="shared" si="0"/>
        <v>0</v>
      </c>
      <c r="O15" s="7">
        <f t="shared" si="1"/>
        <v>0</v>
      </c>
      <c r="P15" s="7">
        <f t="shared" si="2"/>
        <v>0</v>
      </c>
      <c r="Q15" s="7">
        <f t="shared" si="3"/>
        <v>0</v>
      </c>
      <c r="R15" s="7">
        <f t="shared" si="4"/>
        <v>1</v>
      </c>
      <c r="S15" s="7">
        <f t="shared" si="5"/>
        <v>15</v>
      </c>
      <c r="T15" s="9" t="str">
        <f t="shared" si="6"/>
        <v>Low Risk</v>
      </c>
    </row>
    <row r="16" spans="1:20" x14ac:dyDescent="0.3">
      <c r="A16" s="6">
        <v>1015</v>
      </c>
      <c r="B16" s="7">
        <v>23</v>
      </c>
      <c r="C16" s="7">
        <v>13</v>
      </c>
      <c r="D16" s="7">
        <v>230000</v>
      </c>
      <c r="E16" s="7">
        <v>21000</v>
      </c>
      <c r="F16" s="7">
        <v>4</v>
      </c>
      <c r="G16" s="7">
        <v>10</v>
      </c>
      <c r="H16" s="8" t="s">
        <v>13</v>
      </c>
      <c r="I16" s="8" t="s">
        <v>14</v>
      </c>
      <c r="J16" s="8" t="s">
        <v>15</v>
      </c>
      <c r="K16" s="8" t="s">
        <v>15</v>
      </c>
      <c r="L16" s="8" t="s">
        <v>16</v>
      </c>
      <c r="M16" s="8" t="s">
        <v>17</v>
      </c>
      <c r="N16" s="7">
        <f t="shared" si="0"/>
        <v>1</v>
      </c>
      <c r="O16" s="7">
        <f t="shared" si="1"/>
        <v>1</v>
      </c>
      <c r="P16" s="7">
        <f t="shared" si="2"/>
        <v>1</v>
      </c>
      <c r="Q16" s="7">
        <f t="shared" si="3"/>
        <v>1</v>
      </c>
      <c r="R16" s="7">
        <f t="shared" si="4"/>
        <v>0</v>
      </c>
      <c r="S16" s="7">
        <f t="shared" si="5"/>
        <v>85</v>
      </c>
      <c r="T16" s="9" t="str">
        <f t="shared" si="6"/>
        <v>High Risk</v>
      </c>
    </row>
    <row r="17" spans="1:22" x14ac:dyDescent="0.3">
      <c r="A17" s="6">
        <v>1016</v>
      </c>
      <c r="B17" s="7">
        <v>37</v>
      </c>
      <c r="C17" s="7">
        <v>3</v>
      </c>
      <c r="D17" s="7">
        <v>42000</v>
      </c>
      <c r="E17" s="7">
        <v>38000</v>
      </c>
      <c r="F17" s="7">
        <v>0</v>
      </c>
      <c r="G17" s="7">
        <v>250</v>
      </c>
      <c r="H17" s="8" t="s">
        <v>18</v>
      </c>
      <c r="I17" s="8" t="s">
        <v>19</v>
      </c>
      <c r="J17" s="8" t="s">
        <v>20</v>
      </c>
      <c r="K17" s="8" t="s">
        <v>20</v>
      </c>
      <c r="L17" s="8" t="s">
        <v>16</v>
      </c>
      <c r="M17" s="8" t="s">
        <v>17</v>
      </c>
      <c r="N17" s="7">
        <f t="shared" si="0"/>
        <v>0</v>
      </c>
      <c r="O17" s="7">
        <f t="shared" si="1"/>
        <v>0</v>
      </c>
      <c r="P17" s="7">
        <f t="shared" si="2"/>
        <v>0</v>
      </c>
      <c r="Q17" s="7">
        <f t="shared" si="3"/>
        <v>0</v>
      </c>
      <c r="R17" s="7">
        <f t="shared" si="4"/>
        <v>1</v>
      </c>
      <c r="S17" s="7">
        <f t="shared" si="5"/>
        <v>15</v>
      </c>
      <c r="T17" s="9" t="str">
        <f t="shared" si="6"/>
        <v>Low Risk</v>
      </c>
      <c r="V17" t="s">
        <v>32</v>
      </c>
    </row>
    <row r="18" spans="1:22" x14ac:dyDescent="0.3">
      <c r="A18" s="6">
        <v>1017</v>
      </c>
      <c r="B18" s="7">
        <v>29</v>
      </c>
      <c r="C18" s="7">
        <v>8</v>
      </c>
      <c r="D18" s="7">
        <v>88000</v>
      </c>
      <c r="E18" s="7">
        <v>12000</v>
      </c>
      <c r="F18" s="7">
        <v>2</v>
      </c>
      <c r="G18" s="7">
        <v>45</v>
      </c>
      <c r="H18" s="8" t="s">
        <v>23</v>
      </c>
      <c r="I18" s="8" t="s">
        <v>14</v>
      </c>
      <c r="J18" s="8" t="s">
        <v>15</v>
      </c>
      <c r="K18" s="8" t="s">
        <v>15</v>
      </c>
      <c r="L18" s="8" t="s">
        <v>16</v>
      </c>
      <c r="M18" s="8" t="s">
        <v>25</v>
      </c>
      <c r="N18" s="7">
        <f t="shared" si="0"/>
        <v>1</v>
      </c>
      <c r="O18" s="7">
        <f t="shared" si="1"/>
        <v>1</v>
      </c>
      <c r="P18" s="7">
        <f t="shared" si="2"/>
        <v>1</v>
      </c>
      <c r="Q18" s="7">
        <f t="shared" si="3"/>
        <v>0</v>
      </c>
      <c r="R18" s="7">
        <f t="shared" si="4"/>
        <v>1</v>
      </c>
      <c r="S18" s="7">
        <f t="shared" si="5"/>
        <v>80</v>
      </c>
      <c r="T18" s="9" t="str">
        <f t="shared" si="6"/>
        <v>High Risk</v>
      </c>
    </row>
    <row r="19" spans="1:22" x14ac:dyDescent="0.3">
      <c r="A19" s="6">
        <v>1018</v>
      </c>
      <c r="B19" s="7">
        <v>44</v>
      </c>
      <c r="C19" s="7">
        <v>4</v>
      </c>
      <c r="D19" s="7">
        <v>26000</v>
      </c>
      <c r="E19" s="7">
        <v>24000</v>
      </c>
      <c r="F19" s="7">
        <v>0</v>
      </c>
      <c r="G19" s="7">
        <v>700</v>
      </c>
      <c r="H19" s="8" t="s">
        <v>18</v>
      </c>
      <c r="I19" s="8" t="s">
        <v>19</v>
      </c>
      <c r="J19" s="8" t="s">
        <v>20</v>
      </c>
      <c r="K19" s="8" t="s">
        <v>20</v>
      </c>
      <c r="L19" s="8" t="s">
        <v>16</v>
      </c>
      <c r="M19" s="8" t="s">
        <v>17</v>
      </c>
      <c r="N19" s="7">
        <f t="shared" si="0"/>
        <v>0</v>
      </c>
      <c r="O19" s="7">
        <f t="shared" si="1"/>
        <v>0</v>
      </c>
      <c r="P19" s="7">
        <f t="shared" si="2"/>
        <v>0</v>
      </c>
      <c r="Q19" s="7">
        <f t="shared" si="3"/>
        <v>0</v>
      </c>
      <c r="R19" s="7">
        <f t="shared" si="4"/>
        <v>1</v>
      </c>
      <c r="S19" s="7">
        <f t="shared" si="5"/>
        <v>15</v>
      </c>
      <c r="T19" s="9" t="str">
        <f t="shared" si="6"/>
        <v>Low Risk</v>
      </c>
    </row>
    <row r="20" spans="1:22" x14ac:dyDescent="0.3">
      <c r="A20" s="6">
        <v>1019</v>
      </c>
      <c r="B20" s="7">
        <v>32</v>
      </c>
      <c r="C20" s="7">
        <v>9</v>
      </c>
      <c r="D20" s="7">
        <v>97000</v>
      </c>
      <c r="E20" s="7">
        <v>16000</v>
      </c>
      <c r="F20" s="7">
        <v>3</v>
      </c>
      <c r="G20" s="7">
        <v>35</v>
      </c>
      <c r="H20" s="8" t="s">
        <v>13</v>
      </c>
      <c r="I20" s="8" t="s">
        <v>14</v>
      </c>
      <c r="J20" s="8" t="s">
        <v>15</v>
      </c>
      <c r="K20" s="8" t="s">
        <v>15</v>
      </c>
      <c r="L20" s="8" t="s">
        <v>16</v>
      </c>
      <c r="M20" s="8" t="s">
        <v>17</v>
      </c>
      <c r="N20" s="7">
        <f t="shared" si="0"/>
        <v>1</v>
      </c>
      <c r="O20" s="7">
        <f t="shared" si="1"/>
        <v>1</v>
      </c>
      <c r="P20" s="7">
        <f t="shared" si="2"/>
        <v>1</v>
      </c>
      <c r="Q20" s="7">
        <f t="shared" si="3"/>
        <v>1</v>
      </c>
      <c r="R20" s="7">
        <f t="shared" si="4"/>
        <v>0</v>
      </c>
      <c r="S20" s="7">
        <f t="shared" si="5"/>
        <v>85</v>
      </c>
      <c r="T20" s="9" t="str">
        <f t="shared" si="6"/>
        <v>High Risk</v>
      </c>
    </row>
    <row r="21" spans="1:22" x14ac:dyDescent="0.3">
      <c r="A21" s="6">
        <v>1020</v>
      </c>
      <c r="B21" s="7">
        <v>46</v>
      </c>
      <c r="C21" s="7">
        <v>1</v>
      </c>
      <c r="D21" s="7">
        <v>15000</v>
      </c>
      <c r="E21" s="7">
        <v>14500</v>
      </c>
      <c r="F21" s="7">
        <v>0</v>
      </c>
      <c r="G21" s="7">
        <v>1100</v>
      </c>
      <c r="H21" s="8" t="s">
        <v>18</v>
      </c>
      <c r="I21" s="8" t="s">
        <v>19</v>
      </c>
      <c r="J21" s="8" t="s">
        <v>20</v>
      </c>
      <c r="K21" s="8" t="s">
        <v>20</v>
      </c>
      <c r="L21" s="8" t="s">
        <v>16</v>
      </c>
      <c r="M21" s="8" t="s">
        <v>17</v>
      </c>
      <c r="N21" s="7">
        <f t="shared" si="0"/>
        <v>0</v>
      </c>
      <c r="O21" s="7">
        <f t="shared" si="1"/>
        <v>0</v>
      </c>
      <c r="P21" s="7">
        <f t="shared" si="2"/>
        <v>0</v>
      </c>
      <c r="Q21" s="7">
        <f t="shared" si="3"/>
        <v>0</v>
      </c>
      <c r="R21" s="7">
        <f t="shared" si="4"/>
        <v>1</v>
      </c>
      <c r="S21" s="7">
        <f t="shared" si="5"/>
        <v>15</v>
      </c>
      <c r="T21" s="9" t="str">
        <f t="shared" si="6"/>
        <v>Low Risk</v>
      </c>
    </row>
    <row r="22" spans="1:22" x14ac:dyDescent="0.3">
      <c r="A22" s="6">
        <v>1021</v>
      </c>
      <c r="B22" s="7">
        <v>26</v>
      </c>
      <c r="C22" s="7">
        <v>12</v>
      </c>
      <c r="D22" s="7">
        <v>205000</v>
      </c>
      <c r="E22" s="7">
        <v>18000</v>
      </c>
      <c r="F22" s="7">
        <v>4</v>
      </c>
      <c r="G22" s="7">
        <v>20</v>
      </c>
      <c r="H22" s="8" t="s">
        <v>13</v>
      </c>
      <c r="I22" s="8" t="s">
        <v>14</v>
      </c>
      <c r="J22" s="8" t="s">
        <v>15</v>
      </c>
      <c r="K22" s="8" t="s">
        <v>15</v>
      </c>
      <c r="L22" s="8" t="s">
        <v>16</v>
      </c>
      <c r="M22" s="8" t="s">
        <v>22</v>
      </c>
      <c r="N22" s="7">
        <f t="shared" si="0"/>
        <v>1</v>
      </c>
      <c r="O22" s="7">
        <f t="shared" si="1"/>
        <v>1</v>
      </c>
      <c r="P22" s="7">
        <f t="shared" si="2"/>
        <v>1</v>
      </c>
      <c r="Q22" s="7">
        <f t="shared" si="3"/>
        <v>1</v>
      </c>
      <c r="R22" s="7">
        <f t="shared" si="4"/>
        <v>0</v>
      </c>
      <c r="S22" s="7">
        <f t="shared" si="5"/>
        <v>85</v>
      </c>
      <c r="T22" s="9" t="str">
        <f t="shared" si="6"/>
        <v>High Risk</v>
      </c>
    </row>
    <row r="23" spans="1:22" x14ac:dyDescent="0.3">
      <c r="A23" s="6">
        <v>1022</v>
      </c>
      <c r="B23" s="7">
        <v>38</v>
      </c>
      <c r="C23" s="7">
        <v>6</v>
      </c>
      <c r="D23" s="7">
        <v>36000</v>
      </c>
      <c r="E23" s="7">
        <v>33000</v>
      </c>
      <c r="F23" s="7">
        <v>1</v>
      </c>
      <c r="G23" s="7">
        <v>300</v>
      </c>
      <c r="H23" s="8" t="s">
        <v>18</v>
      </c>
      <c r="I23" s="8" t="s">
        <v>24</v>
      </c>
      <c r="J23" s="8" t="s">
        <v>20</v>
      </c>
      <c r="K23" s="8" t="s">
        <v>20</v>
      </c>
      <c r="L23" s="8" t="s">
        <v>16</v>
      </c>
      <c r="M23" s="8" t="s">
        <v>17</v>
      </c>
      <c r="N23" s="7">
        <f t="shared" si="0"/>
        <v>0</v>
      </c>
      <c r="O23" s="7">
        <f t="shared" si="1"/>
        <v>0</v>
      </c>
      <c r="P23" s="7">
        <f t="shared" si="2"/>
        <v>0</v>
      </c>
      <c r="Q23" s="7">
        <f t="shared" si="3"/>
        <v>0</v>
      </c>
      <c r="R23" s="7">
        <f t="shared" si="4"/>
        <v>1</v>
      </c>
      <c r="S23" s="7">
        <f t="shared" si="5"/>
        <v>15</v>
      </c>
      <c r="T23" s="9" t="str">
        <f t="shared" si="6"/>
        <v>Low Risk</v>
      </c>
    </row>
    <row r="24" spans="1:22" x14ac:dyDescent="0.3">
      <c r="A24" s="6">
        <v>1023</v>
      </c>
      <c r="B24" s="7">
        <v>31</v>
      </c>
      <c r="C24" s="7">
        <v>7</v>
      </c>
      <c r="D24" s="7">
        <v>82000</v>
      </c>
      <c r="E24" s="7">
        <v>13000</v>
      </c>
      <c r="F24" s="7">
        <v>2</v>
      </c>
      <c r="G24" s="7">
        <v>50</v>
      </c>
      <c r="H24" s="8" t="s">
        <v>23</v>
      </c>
      <c r="I24" s="8" t="s">
        <v>14</v>
      </c>
      <c r="J24" s="8" t="s">
        <v>15</v>
      </c>
      <c r="K24" s="8" t="s">
        <v>15</v>
      </c>
      <c r="L24" s="8" t="s">
        <v>16</v>
      </c>
      <c r="M24" s="8" t="s">
        <v>17</v>
      </c>
      <c r="N24" s="7">
        <f t="shared" si="0"/>
        <v>1</v>
      </c>
      <c r="O24" s="7">
        <f t="shared" si="1"/>
        <v>1</v>
      </c>
      <c r="P24" s="7">
        <f t="shared" si="2"/>
        <v>1</v>
      </c>
      <c r="Q24" s="7">
        <f t="shared" si="3"/>
        <v>0</v>
      </c>
      <c r="R24" s="7">
        <f t="shared" si="4"/>
        <v>1</v>
      </c>
      <c r="S24" s="7">
        <f t="shared" si="5"/>
        <v>80</v>
      </c>
      <c r="T24" s="9" t="str">
        <f t="shared" si="6"/>
        <v>High Risk</v>
      </c>
    </row>
    <row r="25" spans="1:22" x14ac:dyDescent="0.3">
      <c r="A25" s="6">
        <v>1024</v>
      </c>
      <c r="B25" s="7">
        <v>54</v>
      </c>
      <c r="C25" s="7">
        <v>2</v>
      </c>
      <c r="D25" s="7">
        <v>16000</v>
      </c>
      <c r="E25" s="7">
        <v>15000</v>
      </c>
      <c r="F25" s="7">
        <v>0</v>
      </c>
      <c r="G25" s="7">
        <v>850</v>
      </c>
      <c r="H25" s="8" t="s">
        <v>18</v>
      </c>
      <c r="I25" s="8" t="s">
        <v>19</v>
      </c>
      <c r="J25" s="8" t="s">
        <v>20</v>
      </c>
      <c r="K25" s="8" t="s">
        <v>20</v>
      </c>
      <c r="L25" s="8" t="s">
        <v>16</v>
      </c>
      <c r="M25" s="8" t="s">
        <v>17</v>
      </c>
      <c r="N25" s="7">
        <f t="shared" si="0"/>
        <v>0</v>
      </c>
      <c r="O25" s="7">
        <f t="shared" si="1"/>
        <v>0</v>
      </c>
      <c r="P25" s="7">
        <f t="shared" si="2"/>
        <v>0</v>
      </c>
      <c r="Q25" s="7">
        <f t="shared" si="3"/>
        <v>0</v>
      </c>
      <c r="R25" s="7">
        <f t="shared" si="4"/>
        <v>1</v>
      </c>
      <c r="S25" s="7">
        <f t="shared" si="5"/>
        <v>15</v>
      </c>
      <c r="T25" s="9" t="str">
        <f t="shared" si="6"/>
        <v>Low Risk</v>
      </c>
    </row>
    <row r="26" spans="1:22" x14ac:dyDescent="0.3">
      <c r="A26" s="6">
        <v>1025</v>
      </c>
      <c r="B26" s="7">
        <v>25</v>
      </c>
      <c r="C26" s="7">
        <v>14</v>
      </c>
      <c r="D26" s="7">
        <v>240000</v>
      </c>
      <c r="E26" s="7">
        <v>22000</v>
      </c>
      <c r="F26" s="7">
        <v>5</v>
      </c>
      <c r="G26" s="7">
        <v>8</v>
      </c>
      <c r="H26" s="8" t="s">
        <v>13</v>
      </c>
      <c r="I26" s="8" t="s">
        <v>14</v>
      </c>
      <c r="J26" s="8" t="s">
        <v>15</v>
      </c>
      <c r="K26" s="8" t="s">
        <v>15</v>
      </c>
      <c r="L26" s="8" t="s">
        <v>16</v>
      </c>
      <c r="M26" s="8" t="s">
        <v>17</v>
      </c>
      <c r="N26" s="7">
        <f t="shared" si="0"/>
        <v>1</v>
      </c>
      <c r="O26" s="7">
        <f t="shared" si="1"/>
        <v>1</v>
      </c>
      <c r="P26" s="7">
        <f t="shared" si="2"/>
        <v>1</v>
      </c>
      <c r="Q26" s="7">
        <f t="shared" si="3"/>
        <v>1</v>
      </c>
      <c r="R26" s="7">
        <f t="shared" si="4"/>
        <v>0</v>
      </c>
      <c r="S26" s="7">
        <f t="shared" si="5"/>
        <v>85</v>
      </c>
      <c r="T26" s="9" t="str">
        <f t="shared" si="6"/>
        <v>High Risk</v>
      </c>
    </row>
    <row r="27" spans="1:22" x14ac:dyDescent="0.3">
      <c r="A27" s="6">
        <v>1026</v>
      </c>
      <c r="B27" s="7">
        <v>42</v>
      </c>
      <c r="C27" s="7">
        <v>3</v>
      </c>
      <c r="D27" s="7">
        <v>28000</v>
      </c>
      <c r="E27" s="7">
        <v>26000</v>
      </c>
      <c r="F27" s="7">
        <v>1</v>
      </c>
      <c r="G27" s="7">
        <v>500</v>
      </c>
      <c r="H27" s="8" t="s">
        <v>18</v>
      </c>
      <c r="I27" s="8" t="s">
        <v>19</v>
      </c>
      <c r="J27" s="8" t="s">
        <v>20</v>
      </c>
      <c r="K27" s="8" t="s">
        <v>20</v>
      </c>
      <c r="L27" s="8" t="s">
        <v>16</v>
      </c>
      <c r="M27" s="8" t="s">
        <v>17</v>
      </c>
      <c r="N27" s="7">
        <f t="shared" si="0"/>
        <v>0</v>
      </c>
      <c r="O27" s="7">
        <f t="shared" si="1"/>
        <v>0</v>
      </c>
      <c r="P27" s="7">
        <f t="shared" si="2"/>
        <v>0</v>
      </c>
      <c r="Q27" s="7">
        <f t="shared" si="3"/>
        <v>0</v>
      </c>
      <c r="R27" s="7">
        <f t="shared" si="4"/>
        <v>1</v>
      </c>
      <c r="S27" s="7">
        <f t="shared" si="5"/>
        <v>15</v>
      </c>
      <c r="T27" s="9" t="str">
        <f t="shared" si="6"/>
        <v>Low Risk</v>
      </c>
    </row>
    <row r="28" spans="1:22" x14ac:dyDescent="0.3">
      <c r="A28" s="6">
        <v>1027</v>
      </c>
      <c r="B28" s="7">
        <v>33</v>
      </c>
      <c r="C28" s="7">
        <v>10</v>
      </c>
      <c r="D28" s="7">
        <v>91000</v>
      </c>
      <c r="E28" s="7">
        <v>14000</v>
      </c>
      <c r="F28" s="7">
        <v>3</v>
      </c>
      <c r="G28" s="7">
        <v>28</v>
      </c>
      <c r="H28" s="8" t="s">
        <v>13</v>
      </c>
      <c r="I28" s="8" t="s">
        <v>14</v>
      </c>
      <c r="J28" s="8" t="s">
        <v>15</v>
      </c>
      <c r="K28" s="8" t="s">
        <v>15</v>
      </c>
      <c r="L28" s="8" t="s">
        <v>16</v>
      </c>
      <c r="M28" s="8" t="s">
        <v>25</v>
      </c>
      <c r="N28" s="7">
        <f t="shared" si="0"/>
        <v>1</v>
      </c>
      <c r="O28" s="7">
        <f t="shared" si="1"/>
        <v>1</v>
      </c>
      <c r="P28" s="7">
        <f t="shared" si="2"/>
        <v>1</v>
      </c>
      <c r="Q28" s="7">
        <f t="shared" si="3"/>
        <v>1</v>
      </c>
      <c r="R28" s="7">
        <f t="shared" si="4"/>
        <v>0</v>
      </c>
      <c r="S28" s="7">
        <f t="shared" si="5"/>
        <v>85</v>
      </c>
      <c r="T28" s="9" t="str">
        <f t="shared" si="6"/>
        <v>High Risk</v>
      </c>
    </row>
    <row r="29" spans="1:22" x14ac:dyDescent="0.3">
      <c r="A29" s="6">
        <v>1028</v>
      </c>
      <c r="B29" s="7">
        <v>47</v>
      </c>
      <c r="C29" s="7">
        <v>2</v>
      </c>
      <c r="D29" s="7">
        <v>17000</v>
      </c>
      <c r="E29" s="7">
        <v>16000</v>
      </c>
      <c r="F29" s="7">
        <v>0</v>
      </c>
      <c r="G29" s="7">
        <v>750</v>
      </c>
      <c r="H29" s="8" t="s">
        <v>18</v>
      </c>
      <c r="I29" s="8" t="s">
        <v>19</v>
      </c>
      <c r="J29" s="8" t="s">
        <v>20</v>
      </c>
      <c r="K29" s="8" t="s">
        <v>20</v>
      </c>
      <c r="L29" s="8" t="s">
        <v>16</v>
      </c>
      <c r="M29" s="8" t="s">
        <v>17</v>
      </c>
      <c r="N29" s="7">
        <f t="shared" si="0"/>
        <v>0</v>
      </c>
      <c r="O29" s="7">
        <f t="shared" si="1"/>
        <v>0</v>
      </c>
      <c r="P29" s="7">
        <f t="shared" si="2"/>
        <v>0</v>
      </c>
      <c r="Q29" s="7">
        <f t="shared" si="3"/>
        <v>0</v>
      </c>
      <c r="R29" s="7">
        <f t="shared" si="4"/>
        <v>1</v>
      </c>
      <c r="S29" s="7">
        <f t="shared" si="5"/>
        <v>15</v>
      </c>
      <c r="T29" s="9" t="str">
        <f t="shared" si="6"/>
        <v>Low Risk</v>
      </c>
    </row>
    <row r="30" spans="1:22" x14ac:dyDescent="0.3">
      <c r="A30" s="6">
        <v>1029</v>
      </c>
      <c r="B30" s="7">
        <v>35</v>
      </c>
      <c r="C30" s="7">
        <v>6</v>
      </c>
      <c r="D30" s="7">
        <v>76000</v>
      </c>
      <c r="E30" s="7">
        <v>15000</v>
      </c>
      <c r="F30" s="7">
        <v>2</v>
      </c>
      <c r="G30" s="7">
        <v>70</v>
      </c>
      <c r="H30" s="8" t="s">
        <v>23</v>
      </c>
      <c r="I30" s="8" t="s">
        <v>14</v>
      </c>
      <c r="J30" s="8" t="s">
        <v>15</v>
      </c>
      <c r="K30" s="8" t="s">
        <v>15</v>
      </c>
      <c r="L30" s="8" t="s">
        <v>16</v>
      </c>
      <c r="M30" s="8" t="s">
        <v>17</v>
      </c>
      <c r="N30" s="7">
        <f t="shared" si="0"/>
        <v>1</v>
      </c>
      <c r="O30" s="7">
        <f t="shared" si="1"/>
        <v>0</v>
      </c>
      <c r="P30" s="7">
        <f t="shared" si="2"/>
        <v>1</v>
      </c>
      <c r="Q30" s="7">
        <f t="shared" si="3"/>
        <v>0</v>
      </c>
      <c r="R30" s="7">
        <f t="shared" si="4"/>
        <v>1</v>
      </c>
      <c r="S30" s="7">
        <f t="shared" si="5"/>
        <v>55</v>
      </c>
      <c r="T30" s="9" t="str">
        <f t="shared" si="6"/>
        <v>Medium Risk</v>
      </c>
    </row>
    <row r="31" spans="1:22" x14ac:dyDescent="0.3">
      <c r="A31" s="10">
        <v>1030</v>
      </c>
      <c r="B31" s="11">
        <v>51</v>
      </c>
      <c r="C31" s="11">
        <v>1</v>
      </c>
      <c r="D31" s="11">
        <v>13000</v>
      </c>
      <c r="E31" s="11">
        <v>12500</v>
      </c>
      <c r="F31" s="11">
        <v>0</v>
      </c>
      <c r="G31" s="11">
        <v>950</v>
      </c>
      <c r="H31" s="12" t="s">
        <v>18</v>
      </c>
      <c r="I31" s="12" t="s">
        <v>19</v>
      </c>
      <c r="J31" s="12" t="s">
        <v>20</v>
      </c>
      <c r="K31" s="12" t="s">
        <v>20</v>
      </c>
      <c r="L31" s="12" t="s">
        <v>16</v>
      </c>
      <c r="M31" s="12" t="s">
        <v>17</v>
      </c>
      <c r="N31" s="11">
        <f t="shared" si="0"/>
        <v>0</v>
      </c>
      <c r="O31" s="11">
        <f t="shared" si="1"/>
        <v>0</v>
      </c>
      <c r="P31" s="11">
        <f t="shared" si="2"/>
        <v>0</v>
      </c>
      <c r="Q31" s="11">
        <f t="shared" si="3"/>
        <v>0</v>
      </c>
      <c r="R31" s="11">
        <f t="shared" si="4"/>
        <v>1</v>
      </c>
      <c r="S31" s="11">
        <f t="shared" si="5"/>
        <v>15</v>
      </c>
      <c r="T31" s="13" t="str">
        <f t="shared" si="6"/>
        <v>Low Risk</v>
      </c>
    </row>
  </sheetData>
  <conditionalFormatting sqref="S1:S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{07480712-20CD-4AAB-9E0A-9171CC4F5AB2}</x14:id>
        </ext>
      </extLst>
    </cfRule>
  </conditionalFormatting>
  <conditionalFormatting sqref="T1:T1048576">
    <cfRule type="containsText" dxfId="5" priority="2" operator="containsText" text="low risk">
      <formula>NOT(ISERROR(SEARCH("low risk",T1)))</formula>
    </cfRule>
    <cfRule type="containsText" dxfId="4" priority="3" operator="containsText" text="medium risk">
      <formula>NOT(ISERROR(SEARCH("medium risk",T1)))</formula>
    </cfRule>
    <cfRule type="containsText" dxfId="3" priority="4" operator="containsText" text="high risk">
      <formula>NOT(ISERROR(SEARCH("high risk",T1)))</formula>
    </cfRule>
    <cfRule type="containsText" dxfId="2" priority="5" operator="containsText" text="medium risk">
      <formula>NOT(ISERROR(SEARCH("medium risk",T1)))</formula>
    </cfRule>
    <cfRule type="containsText" dxfId="1" priority="6" operator="containsText" text="low risk">
      <formula>NOT(ISERROR(SEARCH("low risk",T1)))</formula>
    </cfRule>
    <cfRule type="containsText" dxfId="0" priority="7" operator="containsText" text="high risk">
      <formula>NOT(ISERROR(SEARCH("high risk",T1)))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480712-20CD-4AAB-9E0A-9171CC4F5A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S1:S1048576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ClaimWatchAI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Jashwanth Ramadugu</dc:creator>
  <cp:lastModifiedBy>Jashwanth Ramadugu</cp:lastModifiedBy>
  <dcterms:created xsi:type="dcterms:W3CDTF">2026-02-18T05:04:39Z</dcterms:created>
  <dcterms:modified xsi:type="dcterms:W3CDTF">2026-02-18T08:49:07Z</dcterms:modified>
</cp:coreProperties>
</file>